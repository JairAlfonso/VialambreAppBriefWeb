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rjuela\OneDrive - Biomax\Natalia Orjuela\SOLICITUDES DE PEDIDO\2024\JUNIO\SOLPED - 10034138 - HABLADORES\"/>
    </mc:Choice>
  </mc:AlternateContent>
  <bookViews>
    <workbookView xWindow="-105" yWindow="-105" windowWidth="19425" windowHeight="10305" tabRatio="906"/>
  </bookViews>
  <sheets>
    <sheet name="CO-FT-003" sheetId="45" r:id="rId1"/>
    <sheet name="Hoja1" sheetId="47" state="hidden" r:id="rId2"/>
    <sheet name="PARAMETROS" sheetId="46" state="veryHidden" r:id="rId3"/>
  </sheets>
  <definedNames>
    <definedName name="_xlnm.Print_Area" localSheetId="0">'CO-FT-003'!$B$2:$L$62</definedName>
    <definedName name="Mes">PARAMETROS!$B$2:$B$13</definedName>
    <definedName name="TIPO">'CO-FT-003'!$C$33</definedName>
    <definedName name="TipoBien">PARAMETROS!$D$2:$D$8</definedName>
    <definedName name="_xlnm.Print_Titles" localSheetId="0">'CO-FT-003'!$2:$7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45" l="1"/>
  <c r="K23" i="45"/>
  <c r="K22" i="45"/>
  <c r="K21" i="45" l="1"/>
  <c r="K20" i="45"/>
  <c r="K27" i="45" l="1"/>
  <c r="K28" i="45" s="1"/>
</calcChain>
</file>

<file path=xl/sharedStrings.xml><?xml version="1.0" encoding="utf-8"?>
<sst xmlns="http://schemas.openxmlformats.org/spreadsheetml/2006/main" count="128" uniqueCount="101">
  <si>
    <t xml:space="preserve">ESPECIFICACIONES TÉCNICAS PARA BIENES </t>
  </si>
  <si>
    <t>Tipo de bien a adquirir</t>
  </si>
  <si>
    <t>SUSTANCIAS QUÍMICAS: 
Pinturas, productos de limpieza, aseo, lubricantes, combustibles, solventes, aerosoles, plaguicidas, soluciones, aditivos, etc.</t>
  </si>
  <si>
    <t>Día</t>
  </si>
  <si>
    <t>Mes</t>
  </si>
  <si>
    <t>Año</t>
  </si>
  <si>
    <t>IT</t>
  </si>
  <si>
    <t>Valor Unitario</t>
  </si>
  <si>
    <t>Valor Total</t>
  </si>
  <si>
    <t>Subtotal</t>
  </si>
  <si>
    <t>TOTAL</t>
  </si>
  <si>
    <t>Se adjunta ficha técnica</t>
  </si>
  <si>
    <t>Requerimientos de HSEQ</t>
  </si>
  <si>
    <t>Proveedores Sugeridos</t>
  </si>
  <si>
    <t>Diciembre</t>
  </si>
  <si>
    <t>Noviembre</t>
  </si>
  <si>
    <t>Octubre</t>
  </si>
  <si>
    <t>Septiembre</t>
  </si>
  <si>
    <t>Salvoconducto Único Nacional de Movilización de Madera o guía ICA (si aplica)</t>
  </si>
  <si>
    <t>Agosto</t>
  </si>
  <si>
    <t>Registro Minero del (los) proveedor(es) de materiales de origen mineral (si aplica)</t>
  </si>
  <si>
    <t>Julio</t>
  </si>
  <si>
    <t>Registros y/o certificados de conformidad de pruebas técnicas de calidad (nacional o internacional)</t>
  </si>
  <si>
    <t>Permisos ambientales y demás disposiciones que expidan las Autoridades Ambientales (si aplica)</t>
  </si>
  <si>
    <t>ELEMENTOS DE PROTECCION INDIVIDUAL (EPI)</t>
  </si>
  <si>
    <t>Junio</t>
  </si>
  <si>
    <t>Fichas técnicas y manuales de uso y mantenimiento</t>
  </si>
  <si>
    <t>Permiso de aprovechamiento forestal (si aplica)</t>
  </si>
  <si>
    <t>Mayo</t>
  </si>
  <si>
    <t>Tarjeta de emergencia</t>
  </si>
  <si>
    <t>Licencia (as) Ambiental (les) expedidas por las autoridades competentes (si aplica)</t>
  </si>
  <si>
    <t>APARATOS ELÉCTRICOS O ELECTRÓNICOS</t>
  </si>
  <si>
    <t>Abril</t>
  </si>
  <si>
    <t>Fichas de datos de seguridad según Decreto 1496/2018</t>
  </si>
  <si>
    <t xml:space="preserve">Certificación de suministro de la madera y/o copia factura del depósito proveedor de la madera. </t>
  </si>
  <si>
    <t>EQUIPOS O HERRAMIENTAS</t>
  </si>
  <si>
    <t>Marzo</t>
  </si>
  <si>
    <t xml:space="preserve">Certificado de sustancias controladas (si aplica) </t>
  </si>
  <si>
    <t>MATERIAS PRIMAS: 
De origen animal, (la seda, pieles, etc.); vegetal, (madera, corcho, algodón, etc.) y mineral, (arcilla, arena, mármol, etc.).</t>
  </si>
  <si>
    <t>Febrero</t>
  </si>
  <si>
    <t>Certificado Curso de Conductor de transporte de mercancías peligrosas</t>
  </si>
  <si>
    <t>MATERIALES: 
Materias primas transformadas mediante procesos físicos y/o químicos, preparadas y disponibles para fabricar productos: tableros de madera, el plástico, láminas de metal, vidrio,…</t>
  </si>
  <si>
    <t>Enero</t>
  </si>
  <si>
    <t>Elementos de Protección</t>
  </si>
  <si>
    <t>Sustancias Químicas</t>
  </si>
  <si>
    <t>Aparatos Eléctricos o Ele</t>
  </si>
  <si>
    <t>Equipos o Herramientas</t>
  </si>
  <si>
    <t>Materias Primas</t>
  </si>
  <si>
    <t>Materiales</t>
  </si>
  <si>
    <t>Tipo de Bien</t>
  </si>
  <si>
    <t>Requerimientos Adicionales</t>
  </si>
  <si>
    <t>ESTO ES UNA PRUEBA PARA COMPROBAR UNO MAS</t>
  </si>
  <si>
    <t>OTROS</t>
  </si>
  <si>
    <t>Otros</t>
  </si>
  <si>
    <t>Sin requerimientos</t>
  </si>
  <si>
    <t>Fecha de Solicitud:</t>
  </si>
  <si>
    <t>Nombre del Solicitante:</t>
  </si>
  <si>
    <t>Administrador del Contrato:</t>
  </si>
  <si>
    <t>Área:</t>
  </si>
  <si>
    <t>Orden interna / Mantenimiento:</t>
  </si>
  <si>
    <t>GNE SOLUCIONES S.A.S</t>
  </si>
  <si>
    <t>BIOMAX BIOCOMBUSTIBLES S.A</t>
  </si>
  <si>
    <t>Dia</t>
  </si>
  <si>
    <t>Lugar de entrega de los bienes suministrados:</t>
  </si>
  <si>
    <t xml:space="preserve">CÓDIGO SAP </t>
  </si>
  <si>
    <t xml:space="preserve">DESCRIPCIÓN </t>
  </si>
  <si>
    <t>REFERENCIA</t>
  </si>
  <si>
    <t xml:space="preserve">MARCA </t>
  </si>
  <si>
    <t>CANTIDAD</t>
  </si>
  <si>
    <t>UNM</t>
  </si>
  <si>
    <t>Presupuesto:</t>
  </si>
  <si>
    <t>CECO:</t>
  </si>
  <si>
    <t>PEP:</t>
  </si>
  <si>
    <t>Fecha de entrega:</t>
  </si>
  <si>
    <t>Teléfono:</t>
  </si>
  <si>
    <t>Ciudad:</t>
  </si>
  <si>
    <t>Contacto:</t>
  </si>
  <si>
    <t>Dirección:</t>
  </si>
  <si>
    <t xml:space="preserve">Términos de Entrega </t>
  </si>
  <si>
    <t>Empresa :</t>
  </si>
  <si>
    <t>Versión: 4</t>
  </si>
  <si>
    <t>FORMATO</t>
  </si>
  <si>
    <t>Fecha: 31/May/2023</t>
  </si>
  <si>
    <t>Código: CO-FT-003</t>
  </si>
  <si>
    <t>BIOMAX</t>
  </si>
  <si>
    <t>GNE</t>
  </si>
  <si>
    <t>Andrea Cubillos</t>
  </si>
  <si>
    <t>Diego Melo</t>
  </si>
  <si>
    <t>Mercadeo</t>
  </si>
  <si>
    <t xml:space="preserve">Pendón Roll up: </t>
  </si>
  <si>
    <t>Pendones de 2m alto x 1m ancho. Tipo roll up impreso en lona banner a 4x0 tintas</t>
  </si>
  <si>
    <t>Torre Biomax- cra 14 #99-33</t>
  </si>
  <si>
    <t>Bogotá</t>
  </si>
  <si>
    <t>Habladores elaborados en Poliestireno calibre 60 de 60 x 40 cms. con base "pestañas" para pegar al surtidor (cotizar con cinta doble faz y con imán), decorados por cada cara con impresión digital a 1440 dpi.</t>
  </si>
  <si>
    <t>Habladores para surtidor</t>
  </si>
  <si>
    <t>Tropezón</t>
  </si>
  <si>
    <t>Pendón impreso de 1 mt x 2 mt en banner de 13 onzas, por una cara con soporte araña exterior, estructura en alumino, varillas tensoras, centro plastico, terminales plásticos y base para ser rellenada de arena. empacado en maleta tipo morral</t>
  </si>
  <si>
    <t>Botones</t>
  </si>
  <si>
    <t>Botones promocionales de 75mm con herraje metalicoy gancho,impreso a full color</t>
  </si>
  <si>
    <t>Chalecos</t>
  </si>
  <si>
    <t xml:space="preserve">Petos de color verde impreso 4 X 4 tintas sobre tela impermeable que sean graduables a varias tallas en los laterales graduables.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</si>
</sst>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&quot;$&quot;\ * #,##0.00_);_(&quot;$&quot;\ * \(#,##0.00\);_(&quot;$&quot;\ * &quot;-&quot;??_);_(@_)"/>
    <numFmt numFmtId="165" formatCode="&quot;$&quot;#,##0"/>
    <numFmt numFmtId="166" formatCode="&quot;COP&quot;&quot;$&quot;#,##0"/>
  </numFmts>
  <fonts count="1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color rgb="FF000000"/>
      <name val="Segoe UI"/>
      <family val="2"/>
    </font>
    <font>
      <sz val="1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0"/>
      <name val="Arial"/>
      <family val="2"/>
      <scheme val="minor"/>
    </font>
    <font>
      <b/>
      <sz val="9"/>
      <name val="Arial"/>
      <family val="2"/>
      <scheme val="minor"/>
    </font>
    <font>
      <sz val="8"/>
      <name val="Arial"/>
      <family val="2"/>
      <scheme val="minor"/>
    </font>
    <font>
      <sz val="18"/>
      <color theme="0"/>
      <name val="Arial"/>
      <family val="2"/>
      <scheme val="minor"/>
    </font>
    <font>
      <sz val="11"/>
      <name val="Arial"/>
      <family val="2"/>
    </font>
    <font>
      <sz val="11"/>
      <color theme="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8">
    <border>
      <left/>
      <right/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1" tint="0.499984740745262"/>
      </bottom>
      <diagonal/>
    </border>
    <border>
      <left/>
      <right style="thin">
        <color theme="0" tint="-0.499984740745262"/>
      </right>
      <top/>
      <bottom style="thin">
        <color theme="1" tint="0.499984740745262"/>
      </bottom>
      <diagonal/>
    </border>
    <border>
      <left/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499984740745262"/>
      </top>
      <bottom style="thin">
        <color theme="1" tint="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10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 wrapText="1"/>
    </xf>
    <xf numFmtId="166" fontId="6" fillId="0" borderId="10" xfId="0" applyNumberFormat="1" applyFont="1" applyBorder="1" applyAlignment="1" applyProtection="1">
      <alignment vertical="center"/>
      <protection locked="0"/>
    </xf>
    <xf numFmtId="166" fontId="6" fillId="0" borderId="10" xfId="0" applyNumberFormat="1" applyFont="1" applyBorder="1" applyAlignment="1">
      <alignment vertical="center"/>
    </xf>
    <xf numFmtId="0" fontId="6" fillId="0" borderId="10" xfId="0" applyFont="1" applyBorder="1" applyAlignment="1" applyProtection="1">
      <alignment vertical="center" wrapText="1"/>
      <protection locked="0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 wrapText="1"/>
      <protection locked="0"/>
    </xf>
    <xf numFmtId="166" fontId="5" fillId="2" borderId="10" xfId="0" applyNumberFormat="1" applyFont="1" applyFill="1" applyBorder="1" applyAlignment="1">
      <alignment vertical="center"/>
    </xf>
    <xf numFmtId="0" fontId="9" fillId="2" borderId="15" xfId="0" applyFont="1" applyFill="1" applyBorder="1" applyAlignment="1">
      <alignment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left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12" fillId="5" borderId="34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6" fillId="0" borderId="16" xfId="0" applyFont="1" applyBorder="1" applyAlignment="1" applyProtection="1">
      <alignment vertical="center" wrapText="1"/>
      <protection locked="0"/>
    </xf>
    <xf numFmtId="0" fontId="6" fillId="0" borderId="16" xfId="0" applyFont="1" applyBorder="1" applyAlignment="1" applyProtection="1">
      <alignment horizontal="center" vertical="center" wrapText="1"/>
      <protection locked="0"/>
    </xf>
    <xf numFmtId="166" fontId="6" fillId="0" borderId="17" xfId="0" applyNumberFormat="1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6" fillId="0" borderId="17" xfId="0" applyFont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vertical="center" wrapText="1"/>
      <protection locked="0"/>
    </xf>
    <xf numFmtId="0" fontId="6" fillId="0" borderId="9" xfId="0" applyFont="1" applyBorder="1" applyAlignment="1" applyProtection="1">
      <alignment vertical="center" wrapText="1"/>
      <protection locked="0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left" vertical="center" wrapText="1"/>
    </xf>
    <xf numFmtId="14" fontId="8" fillId="4" borderId="25" xfId="0" applyNumberFormat="1" applyFont="1" applyFill="1" applyBorder="1" applyAlignment="1">
      <alignment horizontal="center" vertical="center" wrapText="1"/>
    </xf>
    <xf numFmtId="0" fontId="8" fillId="4" borderId="26" xfId="0" applyFont="1" applyFill="1" applyBorder="1" applyAlignment="1">
      <alignment horizontal="center" vertical="center" wrapText="1"/>
    </xf>
    <xf numFmtId="0" fontId="8" fillId="4" borderId="27" xfId="0" applyFont="1" applyFill="1" applyBorder="1" applyAlignment="1">
      <alignment horizontal="center" vertical="center" wrapText="1"/>
    </xf>
    <xf numFmtId="0" fontId="6" fillId="0" borderId="25" xfId="0" applyFont="1" applyBorder="1" applyAlignment="1" applyProtection="1">
      <alignment horizontal="center" vertical="center" wrapText="1"/>
      <protection locked="0"/>
    </xf>
    <xf numFmtId="0" fontId="6" fillId="0" borderId="26" xfId="0" applyFont="1" applyBorder="1" applyAlignment="1" applyProtection="1">
      <alignment horizontal="center" vertical="center" wrapText="1"/>
      <protection locked="0"/>
    </xf>
    <xf numFmtId="0" fontId="6" fillId="0" borderId="27" xfId="0" applyFont="1" applyBorder="1" applyAlignment="1" applyProtection="1">
      <alignment horizontal="center" vertical="center" wrapText="1"/>
      <protection locked="0"/>
    </xf>
    <xf numFmtId="0" fontId="8" fillId="2" borderId="25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 wrapText="1" indent="1"/>
    </xf>
    <xf numFmtId="0" fontId="6" fillId="0" borderId="16" xfId="0" applyFont="1" applyBorder="1" applyAlignment="1">
      <alignment horizontal="left" vertical="center" wrapText="1" indent="1"/>
    </xf>
    <xf numFmtId="0" fontId="6" fillId="0" borderId="17" xfId="0" applyFont="1" applyBorder="1" applyAlignment="1">
      <alignment horizontal="left" vertical="center" wrapText="1" indent="1"/>
    </xf>
    <xf numFmtId="0" fontId="8" fillId="4" borderId="25" xfId="0" applyFont="1" applyFill="1" applyBorder="1" applyAlignment="1">
      <alignment horizontal="center" vertical="center" wrapText="1"/>
    </xf>
    <xf numFmtId="0" fontId="8" fillId="4" borderId="29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8" fillId="4" borderId="30" xfId="0" applyFont="1" applyFill="1" applyBorder="1" applyAlignment="1">
      <alignment horizontal="center" vertical="center" wrapText="1"/>
    </xf>
    <xf numFmtId="0" fontId="8" fillId="4" borderId="3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 wrapText="1"/>
    </xf>
    <xf numFmtId="0" fontId="8" fillId="4" borderId="23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left" vertical="center" wrapText="1"/>
    </xf>
    <xf numFmtId="0" fontId="9" fillId="4" borderId="19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0" fillId="5" borderId="34" xfId="0" applyFill="1" applyBorder="1" applyAlignment="1">
      <alignment horizontal="center"/>
    </xf>
    <xf numFmtId="0" fontId="12" fillId="0" borderId="34" xfId="0" applyFont="1" applyBorder="1" applyAlignment="1">
      <alignment horizontal="center" vertical="center" wrapText="1"/>
    </xf>
    <xf numFmtId="0" fontId="9" fillId="4" borderId="15" xfId="0" applyFont="1" applyFill="1" applyBorder="1" applyAlignment="1">
      <alignment horizontal="center" vertical="center" wrapText="1"/>
    </xf>
    <xf numFmtId="0" fontId="9" fillId="4" borderId="13" xfId="0" applyFont="1" applyFill="1" applyBorder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left" vertical="center" wrapText="1"/>
    </xf>
    <xf numFmtId="0" fontId="9" fillId="2" borderId="17" xfId="0" applyFont="1" applyFill="1" applyBorder="1" applyAlignment="1">
      <alignment horizontal="left" vertical="center" wrapText="1"/>
    </xf>
    <xf numFmtId="0" fontId="9" fillId="4" borderId="16" xfId="0" applyFont="1" applyFill="1" applyBorder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left" vertical="center"/>
    </xf>
    <xf numFmtId="0" fontId="5" fillId="2" borderId="16" xfId="0" applyFont="1" applyFill="1" applyBorder="1" applyAlignment="1">
      <alignment horizontal="left" vertical="center"/>
    </xf>
    <xf numFmtId="0" fontId="5" fillId="2" borderId="17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6" fillId="0" borderId="35" xfId="0" applyFont="1" applyBorder="1" applyAlignment="1">
      <alignment horizontal="left" vertical="center" wrapText="1" indent="1"/>
    </xf>
    <xf numFmtId="0" fontId="6" fillId="0" borderId="36" xfId="0" applyFont="1" applyBorder="1" applyAlignment="1">
      <alignment horizontal="left" vertical="center" wrapText="1" indent="1"/>
    </xf>
    <xf numFmtId="0" fontId="6" fillId="0" borderId="37" xfId="0" applyFont="1" applyBorder="1" applyAlignment="1">
      <alignment horizontal="left" vertical="center" wrapText="1" indent="1"/>
    </xf>
    <xf numFmtId="0" fontId="6" fillId="0" borderId="25" xfId="0" applyFont="1" applyBorder="1" applyAlignment="1" applyProtection="1">
      <alignment horizontal="left" vertical="center" wrapText="1" indent="1"/>
      <protection locked="0"/>
    </xf>
    <xf numFmtId="0" fontId="6" fillId="0" borderId="26" xfId="0" applyFont="1" applyBorder="1" applyAlignment="1" applyProtection="1">
      <alignment horizontal="left" vertical="center" wrapText="1" indent="1"/>
      <protection locked="0"/>
    </xf>
    <xf numFmtId="0" fontId="6" fillId="0" borderId="27" xfId="0" applyFont="1" applyBorder="1" applyAlignment="1" applyProtection="1">
      <alignment horizontal="left" vertical="center" wrapText="1" indent="1"/>
      <protection locked="0"/>
    </xf>
  </cellXfs>
  <cellStyles count="3">
    <cellStyle name="Millares 2" xfId="1"/>
    <cellStyle name="Moneda 2" xfId="2"/>
    <cellStyle name="Normal" xfId="0" builtinId="0"/>
  </cellStyles>
  <dxfs count="0"/>
  <tableStyles count="0" defaultTableStyle="TableStyleMedium9" defaultPivotStyle="PivotStyleLight16"/>
  <colors>
    <mruColors>
      <color rgb="FF595959"/>
      <color rgb="FFFF9900"/>
      <color rgb="FF003300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868456</xdr:colOff>
          <xdr:row>38</xdr:row>
          <xdr:rowOff>82363</xdr:rowOff>
        </xdr:from>
        <xdr:ext cx="983274" cy="221273"/>
        <xdr:grpSp>
          <xdr:nvGrpSpPr>
            <xdr:cNvPr id="7" name="Grupo 6">
              <a:extLst>
                <a:ext uri="{FF2B5EF4-FFF2-40B4-BE49-F238E27FC236}">
                  <a16:creationId xmlns=""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8555691" y="13081187"/>
              <a:ext cx="983274" cy="221273"/>
              <a:chOff x="3851784" y="4490671"/>
              <a:chExt cx="759802" cy="238125"/>
            </a:xfrm>
            <a:solidFill>
              <a:schemeClr val="tx1"/>
            </a:solidFill>
          </xdr:grpSpPr>
          <xdr:sp macro="" textlink="">
            <xdr:nvSpPr>
              <xdr:cNvPr id="3075" name="Check Box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="" xmlns:a16="http://schemas.microsoft.com/office/drawing/2014/main" id="{00000000-0008-0000-0000-0000030C0000}"/>
                  </a:ext>
                </a:extLst>
              </xdr:cNvPr>
              <xdr:cNvSpPr/>
            </xdr:nvSpPr>
            <xdr:spPr bwMode="auto">
              <a:xfrm>
                <a:off x="3851784" y="4490671"/>
                <a:ext cx="405179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</a:t>
                </a:r>
              </a:p>
            </xdr:txBody>
          </xdr:sp>
          <xdr:sp macro="" textlink="">
            <xdr:nvSpPr>
              <xdr:cNvPr id="3076" name="Check Box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="" xmlns:a16="http://schemas.microsoft.com/office/drawing/2014/main" id="{00000000-0008-0000-0000-0000040C0000}"/>
                  </a:ext>
                </a:extLst>
              </xdr:cNvPr>
              <xdr:cNvSpPr/>
            </xdr:nvSpPr>
            <xdr:spPr bwMode="auto">
              <a:xfrm>
                <a:off x="4210803" y="4490671"/>
                <a:ext cx="400783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oneCellAnchor>
    </mc:Choice>
    <mc:Fallback/>
  </mc:AlternateContent>
  <xdr:oneCellAnchor>
    <xdr:from>
      <xdr:col>9</xdr:col>
      <xdr:colOff>753943</xdr:colOff>
      <xdr:row>14</xdr:row>
      <xdr:rowOff>44823</xdr:rowOff>
    </xdr:from>
    <xdr:ext cx="300402" cy="308732"/>
    <xdr:pic macro="[0]!insertarSAP">
      <xdr:nvPicPr>
        <xdr:cNvPr id="13" name="Imagen 12" descr="Resultado de imagen para icono agregar .png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86002" y="2947147"/>
          <a:ext cx="300402" cy="308732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13</xdr:col>
      <xdr:colOff>9525</xdr:colOff>
      <xdr:row>1</xdr:row>
      <xdr:rowOff>104775</xdr:rowOff>
    </xdr:from>
    <xdr:to>
      <xdr:col>13</xdr:col>
      <xdr:colOff>640135</xdr:colOff>
      <xdr:row>4</xdr:row>
      <xdr:rowOff>114300</xdr:rowOff>
    </xdr:to>
    <xdr:pic macro="[0]!crearPDF"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219075"/>
          <a:ext cx="627435" cy="6191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66676</xdr:colOff>
      <xdr:row>7</xdr:row>
      <xdr:rowOff>1</xdr:rowOff>
    </xdr:from>
    <xdr:to>
      <xdr:col>13</xdr:col>
      <xdr:colOff>292101</xdr:colOff>
      <xdr:row>9</xdr:row>
      <xdr:rowOff>38101</xdr:rowOff>
    </xdr:to>
    <xdr:pic macro="[0]!cargarParamtros">
      <xdr:nvPicPr>
        <xdr:cNvPr id="9" name="Gráfico 8" descr="Engranaje único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67876" y="1200151"/>
          <a:ext cx="323850" cy="323850"/>
        </a:xfrm>
        <a:prstGeom prst="rect">
          <a:avLst/>
        </a:prstGeom>
      </xdr:spPr>
    </xdr:pic>
    <xdr:clientData/>
  </xdr:twoCellAnchor>
  <xdr:oneCellAnchor>
    <xdr:from>
      <xdr:col>10</xdr:col>
      <xdr:colOff>523102</xdr:colOff>
      <xdr:row>34</xdr:row>
      <xdr:rowOff>72838</xdr:rowOff>
    </xdr:from>
    <xdr:ext cx="300402" cy="308732"/>
    <xdr:pic macro="[0]!insertarRA">
      <xdr:nvPicPr>
        <xdr:cNvPr id="18" name="Imagen 17" descr="Resultado de imagen para icono agregar .png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2984" y="7569573"/>
          <a:ext cx="300402" cy="308732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555599</xdr:colOff>
      <xdr:row>50</xdr:row>
      <xdr:rowOff>55469</xdr:rowOff>
    </xdr:from>
    <xdr:ext cx="300402" cy="308732"/>
    <xdr:pic macro="[0]!insertarProveedores">
      <xdr:nvPicPr>
        <xdr:cNvPr id="20" name="Imagen 19" descr="Resultado de imagen para icono agregar .png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5481" y="10633822"/>
          <a:ext cx="300402" cy="308732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790015</xdr:colOff>
          <xdr:row>34</xdr:row>
          <xdr:rowOff>114300</xdr:rowOff>
        </xdr:from>
        <xdr:ext cx="983274" cy="221273"/>
        <xdr:grpSp>
          <xdr:nvGrpSpPr>
            <xdr:cNvPr id="12" name="Grupo 1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8477250" y="12205447"/>
              <a:ext cx="983274" cy="221273"/>
              <a:chOff x="3851784" y="4490671"/>
              <a:chExt cx="759802" cy="238125"/>
            </a:xfrm>
            <a:solidFill>
              <a:schemeClr val="tx1"/>
            </a:solidFill>
          </xdr:grpSpPr>
          <xdr:sp macro="" textlink="">
            <xdr:nvSpPr>
              <xdr:cNvPr id="3077" name="Check Box 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="" xmlns:a16="http://schemas.microsoft.com/office/drawing/2014/main" id="{00000000-0008-0000-0000-0000050C0000}"/>
                  </a:ext>
                </a:extLst>
              </xdr:cNvPr>
              <xdr:cNvSpPr/>
            </xdr:nvSpPr>
            <xdr:spPr bwMode="auto">
              <a:xfrm>
                <a:off x="3851784" y="4490671"/>
                <a:ext cx="405179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</a:t>
                </a:r>
              </a:p>
            </xdr:txBody>
          </xdr:sp>
          <xdr:sp macro="" textlink="">
            <xdr:nvSpPr>
              <xdr:cNvPr id="3078" name="Check Box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="" xmlns:a16="http://schemas.microsoft.com/office/drawing/2014/main" id="{00000000-0008-0000-0000-0000060C0000}"/>
                  </a:ext>
                </a:extLst>
              </xdr:cNvPr>
              <xdr:cNvSpPr/>
            </xdr:nvSpPr>
            <xdr:spPr bwMode="auto">
              <a:xfrm>
                <a:off x="4210803" y="4490671"/>
                <a:ext cx="400783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868455</xdr:colOff>
          <xdr:row>50</xdr:row>
          <xdr:rowOff>103094</xdr:rowOff>
        </xdr:from>
        <xdr:ext cx="983274" cy="221273"/>
        <xdr:grpSp>
          <xdr:nvGrpSpPr>
            <xdr:cNvPr id="15" name="Grupo 14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8555690" y="14200094"/>
              <a:ext cx="983274" cy="221273"/>
              <a:chOff x="3851784" y="4490671"/>
              <a:chExt cx="759802" cy="238125"/>
            </a:xfrm>
            <a:solidFill>
              <a:schemeClr val="tx1"/>
            </a:solidFill>
          </xdr:grpSpPr>
          <xdr:sp macro="" textlink="">
            <xdr:nvSpPr>
              <xdr:cNvPr id="3079" name="Check Box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="" xmlns:a16="http://schemas.microsoft.com/office/drawing/2014/main" id="{00000000-0008-0000-0000-0000070C0000}"/>
                  </a:ext>
                </a:extLst>
              </xdr:cNvPr>
              <xdr:cNvSpPr/>
            </xdr:nvSpPr>
            <xdr:spPr bwMode="auto">
              <a:xfrm>
                <a:off x="3851784" y="4490671"/>
                <a:ext cx="405179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</a:t>
                </a:r>
              </a:p>
            </xdr:txBody>
          </xdr:sp>
          <xdr:sp macro="" textlink="">
            <xdr:nvSpPr>
              <xdr:cNvPr id="3080" name="Check Box 8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="" xmlns:a16="http://schemas.microsoft.com/office/drawing/2014/main" id="{00000000-0008-0000-0000-0000080C0000}"/>
                  </a:ext>
                </a:extLst>
              </xdr:cNvPr>
              <xdr:cNvSpPr/>
            </xdr:nvSpPr>
            <xdr:spPr bwMode="auto">
              <a:xfrm>
                <a:off x="4210803" y="4490671"/>
                <a:ext cx="400783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oneCellAnchor>
    </mc:Choice>
    <mc:Fallback/>
  </mc:AlternateContent>
  <xdr:twoCellAnchor>
    <xdr:from>
      <xdr:col>7</xdr:col>
      <xdr:colOff>104775</xdr:colOff>
      <xdr:row>14</xdr:row>
      <xdr:rowOff>66675</xdr:rowOff>
    </xdr:from>
    <xdr:to>
      <xdr:col>9</xdr:col>
      <xdr:colOff>323850</xdr:colOff>
      <xdr:row>14</xdr:row>
      <xdr:rowOff>354675</xdr:rowOff>
    </xdr:to>
    <xdr:sp macro="" textlink="">
      <xdr:nvSpPr>
        <xdr:cNvPr id="19" name="CuadroTexto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962650" y="2981325"/>
          <a:ext cx="1704975" cy="288000"/>
        </a:xfrm>
        <a:prstGeom prst="rect">
          <a:avLst/>
        </a:prstGeom>
        <a:noFill/>
        <a:ln w="3175" cmpd="sng">
          <a:noFill/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t"/>
        <a:lstStyle/>
        <a:p>
          <a:r>
            <a:rPr lang="es-CO" sz="900" b="1" i="1">
              <a:latin typeface="Arial Narrow" panose="020B0606020202030204" pitchFamily="34" charset="0"/>
            </a:rPr>
            <a:t>Botón</a:t>
          </a:r>
          <a:r>
            <a:rPr lang="es-CO" sz="900" b="1" i="1" baseline="0">
              <a:latin typeface="Arial Narrow" panose="020B0606020202030204" pitchFamily="34" charset="0"/>
            </a:rPr>
            <a:t> para agregar filas (ítems) al formato</a:t>
          </a:r>
          <a:endParaRPr lang="es-CO" sz="900" b="1" i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9</xdr:col>
      <xdr:colOff>400050</xdr:colOff>
      <xdr:row>14</xdr:row>
      <xdr:rowOff>85725</xdr:rowOff>
    </xdr:from>
    <xdr:to>
      <xdr:col>9</xdr:col>
      <xdr:colOff>616050</xdr:colOff>
      <xdr:row>14</xdr:row>
      <xdr:rowOff>337725</xdr:rowOff>
    </xdr:to>
    <xdr:sp macro="" textlink="">
      <xdr:nvSpPr>
        <xdr:cNvPr id="22" name="Flecha derecha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7743825" y="3000375"/>
          <a:ext cx="216000" cy="252000"/>
        </a:xfrm>
        <a:prstGeom prst="rightArrow">
          <a:avLst/>
        </a:prstGeom>
        <a:noFill/>
        <a:ln w="127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3</xdr:col>
      <xdr:colOff>28575</xdr:colOff>
      <xdr:row>2</xdr:row>
      <xdr:rowOff>59531</xdr:rowOff>
    </xdr:from>
    <xdr:to>
      <xdr:col>3</xdr:col>
      <xdr:colOff>838201</xdr:colOff>
      <xdr:row>4</xdr:row>
      <xdr:rowOff>171451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7775" y="288131"/>
          <a:ext cx="809626" cy="607220"/>
        </a:xfrm>
        <a:prstGeom prst="rect">
          <a:avLst/>
        </a:prstGeom>
      </xdr:spPr>
    </xdr:pic>
    <xdr:clientData/>
  </xdr:twoCellAnchor>
  <xdr:twoCellAnchor editAs="oneCell">
    <xdr:from>
      <xdr:col>6</xdr:col>
      <xdr:colOff>48559</xdr:colOff>
      <xdr:row>21</xdr:row>
      <xdr:rowOff>70971</xdr:rowOff>
    </xdr:from>
    <xdr:to>
      <xdr:col>6</xdr:col>
      <xdr:colOff>1591234</xdr:colOff>
      <xdr:row>21</xdr:row>
      <xdr:rowOff>2108008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8530" y="5203265"/>
          <a:ext cx="1542675" cy="20370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261471</xdr:colOff>
      <xdr:row>23</xdr:row>
      <xdr:rowOff>541616</xdr:rowOff>
    </xdr:from>
    <xdr:to>
      <xdr:col>6</xdr:col>
      <xdr:colOff>1441557</xdr:colOff>
      <xdr:row>23</xdr:row>
      <xdr:rowOff>1467969</xdr:rowOff>
    </xdr:to>
    <xdr:pic>
      <xdr:nvPicPr>
        <xdr:cNvPr id="8" name="Imagen 7" descr="A green and white shirt with white text&#10;&#10;Description automatically generated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1442" y="7511675"/>
          <a:ext cx="1180086" cy="926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19050</xdr:rowOff>
    </xdr:from>
    <xdr:to>
      <xdr:col>0</xdr:col>
      <xdr:colOff>742950</xdr:colOff>
      <xdr:row>1</xdr:row>
      <xdr:rowOff>118351</xdr:rowOff>
    </xdr:to>
    <xdr:pic macro="[0]!volverParamtros">
      <xdr:nvPicPr>
        <xdr:cNvPr id="2" name="Gráfico 1" descr="Flecha recta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" y="19050"/>
          <a:ext cx="638175" cy="337426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Biomax">
  <a:themeElements>
    <a:clrScheme name="Biomax">
      <a:dk1>
        <a:sysClr val="windowText" lastClr="000000"/>
      </a:dk1>
      <a:lt1>
        <a:sysClr val="window" lastClr="FFFFFF"/>
      </a:lt1>
      <a:dk2>
        <a:srgbClr val="00A360"/>
      </a:dk2>
      <a:lt2>
        <a:srgbClr val="FEA53E"/>
      </a:lt2>
      <a:accent1>
        <a:srgbClr val="00512F"/>
      </a:accent1>
      <a:accent2>
        <a:srgbClr val="92D050"/>
      </a:accent2>
      <a:accent3>
        <a:srgbClr val="005390"/>
      </a:accent3>
      <a:accent4>
        <a:srgbClr val="FEA53E"/>
      </a:accent4>
      <a:accent5>
        <a:srgbClr val="9FD37C"/>
      </a:accent5>
      <a:accent6>
        <a:srgbClr val="005A4B"/>
      </a:accent6>
      <a:hlink>
        <a:srgbClr val="EE7B08"/>
      </a:hlink>
      <a:folHlink>
        <a:srgbClr val="977B2D"/>
      </a:folHlink>
    </a:clrScheme>
    <a:fontScheme name="Personalizado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iomax" id="{BB37350C-B892-4206-9D4E-60209CEB4713}" vid="{C492D5B8-A5CF-4C63-BBA1-5DDA099D5560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/>
    <pageSetUpPr fitToPage="1"/>
  </sheetPr>
  <dimension ref="A1:N62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37" sqref="A37:XFD37"/>
    </sheetView>
  </sheetViews>
  <sheetFormatPr baseColWidth="10" defaultColWidth="11" defaultRowHeight="23.25" x14ac:dyDescent="0.2"/>
  <cols>
    <col min="1" max="1" width="11" style="2"/>
    <col min="2" max="2" width="1.25" style="2" customWidth="1"/>
    <col min="3" max="3" width="3.75" style="1" customWidth="1"/>
    <col min="4" max="4" width="14" style="1" customWidth="1"/>
    <col min="5" max="5" width="20.5" style="1" customWidth="1"/>
    <col min="6" max="6" width="28.625" style="1" customWidth="1"/>
    <col min="7" max="7" width="21.625" style="1" customWidth="1"/>
    <col min="8" max="8" width="12.125" style="1" customWidth="1"/>
    <col min="9" max="9" width="8.75" style="1" customWidth="1"/>
    <col min="10" max="10" width="13" style="1" customWidth="1"/>
    <col min="11" max="11" width="19.75" style="1" customWidth="1"/>
    <col min="12" max="13" width="1.25" style="2" customWidth="1"/>
    <col min="14" max="14" width="11" style="1"/>
    <col min="15" max="15" width="3.625" style="1" customWidth="1"/>
    <col min="16" max="16384" width="11" style="1"/>
  </cols>
  <sheetData>
    <row r="1" spans="2:14" ht="9" customHeight="1" x14ac:dyDescent="0.2"/>
    <row r="2" spans="2:14" ht="9" customHeight="1" x14ac:dyDescent="0.2">
      <c r="B2" s="3"/>
      <c r="C2" s="4"/>
      <c r="D2" s="4"/>
      <c r="E2" s="4"/>
      <c r="F2" s="4"/>
      <c r="G2" s="4"/>
      <c r="H2" s="4"/>
      <c r="I2" s="4"/>
      <c r="J2" s="4"/>
      <c r="K2" s="4"/>
      <c r="L2" s="5"/>
    </row>
    <row r="3" spans="2:14" ht="20.100000000000001" customHeight="1" x14ac:dyDescent="0.2">
      <c r="B3" s="6"/>
      <c r="C3" s="86"/>
      <c r="D3" s="86"/>
      <c r="E3" s="87" t="s">
        <v>81</v>
      </c>
      <c r="F3" s="87"/>
      <c r="G3" s="87"/>
      <c r="H3" s="87"/>
      <c r="I3" s="87"/>
      <c r="J3" s="87"/>
      <c r="K3" s="43" t="s">
        <v>83</v>
      </c>
      <c r="L3" s="7"/>
    </row>
    <row r="4" spans="2:14" ht="20.100000000000001" customHeight="1" x14ac:dyDescent="0.2">
      <c r="B4" s="6"/>
      <c r="C4" s="86"/>
      <c r="D4" s="86"/>
      <c r="E4" s="87" t="s">
        <v>0</v>
      </c>
      <c r="F4" s="87"/>
      <c r="G4" s="87"/>
      <c r="H4" s="87"/>
      <c r="I4" s="87"/>
      <c r="J4" s="87"/>
      <c r="K4" s="43" t="s">
        <v>80</v>
      </c>
      <c r="L4" s="7"/>
    </row>
    <row r="5" spans="2:14" ht="20.100000000000001" customHeight="1" x14ac:dyDescent="0.2">
      <c r="B5" s="6"/>
      <c r="C5" s="86"/>
      <c r="D5" s="86"/>
      <c r="E5" s="87"/>
      <c r="F5" s="87"/>
      <c r="G5" s="87"/>
      <c r="H5" s="87"/>
      <c r="I5" s="87"/>
      <c r="J5" s="87"/>
      <c r="K5" s="43" t="s">
        <v>82</v>
      </c>
      <c r="L5" s="7"/>
    </row>
    <row r="6" spans="2:14" ht="9" customHeight="1" x14ac:dyDescent="0.2">
      <c r="B6" s="8"/>
      <c r="C6" s="9"/>
      <c r="D6" s="9"/>
      <c r="E6" s="9"/>
      <c r="F6" s="9"/>
      <c r="G6" s="9"/>
      <c r="H6" s="9"/>
      <c r="I6" s="9"/>
      <c r="J6" s="9"/>
      <c r="K6" s="9"/>
      <c r="L6" s="10"/>
    </row>
    <row r="7" spans="2:14" ht="9" customHeight="1" x14ac:dyDescent="0.2"/>
    <row r="8" spans="2:14" ht="9" customHeight="1" x14ac:dyDescent="0.2">
      <c r="B8" s="3"/>
      <c r="C8" s="4"/>
      <c r="D8" s="4"/>
      <c r="E8" s="4"/>
      <c r="F8" s="4"/>
      <c r="G8" s="4"/>
      <c r="H8" s="4"/>
      <c r="I8" s="4"/>
      <c r="J8" s="4"/>
      <c r="K8" s="4"/>
      <c r="L8" s="5"/>
    </row>
    <row r="9" spans="2:14" ht="13.5" customHeight="1" x14ac:dyDescent="0.2">
      <c r="B9" s="6"/>
      <c r="C9" s="81" t="s">
        <v>79</v>
      </c>
      <c r="D9" s="81"/>
      <c r="E9" s="82" t="s">
        <v>84</v>
      </c>
      <c r="F9" s="82"/>
      <c r="G9" s="82"/>
      <c r="H9" s="84" t="s">
        <v>55</v>
      </c>
      <c r="I9" s="25" t="s">
        <v>3</v>
      </c>
      <c r="J9" s="25" t="s">
        <v>4</v>
      </c>
      <c r="K9" s="25" t="s">
        <v>5</v>
      </c>
      <c r="L9" s="7"/>
    </row>
    <row r="10" spans="2:14" ht="21.75" customHeight="1" x14ac:dyDescent="0.2">
      <c r="B10" s="6"/>
      <c r="C10" s="81"/>
      <c r="D10" s="81"/>
      <c r="E10" s="83"/>
      <c r="F10" s="83"/>
      <c r="G10" s="83"/>
      <c r="H10" s="85"/>
      <c r="I10" s="37">
        <v>4</v>
      </c>
      <c r="J10" s="38">
        <v>6</v>
      </c>
      <c r="K10" s="26">
        <v>2024</v>
      </c>
      <c r="L10" s="11"/>
    </row>
    <row r="11" spans="2:14" ht="3.95" customHeight="1" x14ac:dyDescent="0.2">
      <c r="B11" s="6"/>
      <c r="C11" s="17"/>
      <c r="D11" s="17"/>
      <c r="E11" s="17"/>
      <c r="F11" s="17"/>
      <c r="G11" s="17"/>
      <c r="H11" s="17"/>
      <c r="I11" s="17"/>
      <c r="J11" s="17"/>
      <c r="K11" s="17"/>
      <c r="L11" s="7"/>
    </row>
    <row r="12" spans="2:14" ht="30" customHeight="1" x14ac:dyDescent="0.2">
      <c r="B12" s="6"/>
      <c r="C12" s="92" t="s">
        <v>56</v>
      </c>
      <c r="D12" s="93"/>
      <c r="E12" s="88" t="s">
        <v>86</v>
      </c>
      <c r="F12" s="94"/>
      <c r="G12" s="95"/>
      <c r="H12" s="36" t="s">
        <v>70</v>
      </c>
      <c r="I12" s="90"/>
      <c r="J12" s="90"/>
      <c r="K12" s="90"/>
      <c r="L12" s="11"/>
      <c r="N12" s="44" t="s">
        <v>84</v>
      </c>
    </row>
    <row r="13" spans="2:14" ht="30" customHeight="1" x14ac:dyDescent="0.2">
      <c r="B13" s="6"/>
      <c r="C13" s="92" t="s">
        <v>57</v>
      </c>
      <c r="D13" s="93"/>
      <c r="E13" s="88" t="s">
        <v>87</v>
      </c>
      <c r="F13" s="94"/>
      <c r="G13" s="95"/>
      <c r="H13" s="36" t="s">
        <v>71</v>
      </c>
      <c r="I13" s="91">
        <v>100600010</v>
      </c>
      <c r="J13" s="91"/>
      <c r="K13" s="91"/>
      <c r="L13" s="7"/>
      <c r="N13" s="44" t="s">
        <v>85</v>
      </c>
    </row>
    <row r="14" spans="2:14" ht="30" customHeight="1" x14ac:dyDescent="0.2">
      <c r="B14" s="6"/>
      <c r="C14" s="92" t="s">
        <v>58</v>
      </c>
      <c r="D14" s="93"/>
      <c r="E14" s="88" t="s">
        <v>88</v>
      </c>
      <c r="F14" s="94"/>
      <c r="G14" s="95"/>
      <c r="H14" s="36" t="s">
        <v>72</v>
      </c>
      <c r="I14" s="91"/>
      <c r="J14" s="91"/>
      <c r="K14" s="91"/>
      <c r="L14" s="7"/>
      <c r="N14" s="44"/>
    </row>
    <row r="15" spans="2:14" ht="30" customHeight="1" x14ac:dyDescent="0.2">
      <c r="B15" s="6"/>
      <c r="C15" s="92" t="s">
        <v>59</v>
      </c>
      <c r="D15" s="93"/>
      <c r="E15" s="88">
        <v>15000081</v>
      </c>
      <c r="F15" s="94"/>
      <c r="G15" s="95"/>
      <c r="H15" s="88"/>
      <c r="I15" s="83"/>
      <c r="J15" s="83"/>
      <c r="K15" s="89"/>
      <c r="L15" s="7"/>
    </row>
    <row r="16" spans="2:14" ht="7.5" customHeight="1" x14ac:dyDescent="0.2">
      <c r="B16" s="8"/>
      <c r="C16" s="18"/>
      <c r="D16" s="18"/>
      <c r="E16" s="18"/>
      <c r="F16" s="18"/>
      <c r="G16" s="18"/>
      <c r="H16" s="18"/>
      <c r="I16" s="18"/>
      <c r="J16" s="18"/>
      <c r="K16" s="18"/>
      <c r="L16" s="10"/>
    </row>
    <row r="17" spans="1:13" ht="9" customHeight="1" x14ac:dyDescent="0.2">
      <c r="C17" s="17"/>
      <c r="D17" s="17"/>
      <c r="E17" s="17"/>
      <c r="F17" s="17"/>
      <c r="G17" s="17"/>
      <c r="H17" s="17"/>
      <c r="I17" s="17"/>
      <c r="J17" s="17"/>
      <c r="K17" s="17"/>
    </row>
    <row r="18" spans="1:13" ht="9" customHeight="1" x14ac:dyDescent="0.2">
      <c r="B18" s="3"/>
      <c r="C18" s="19"/>
      <c r="D18" s="19"/>
      <c r="E18" s="19"/>
      <c r="F18" s="19"/>
      <c r="G18" s="19"/>
      <c r="H18" s="19"/>
      <c r="I18" s="19"/>
      <c r="J18" s="19"/>
      <c r="K18" s="19"/>
      <c r="L18" s="5"/>
    </row>
    <row r="19" spans="1:13" s="32" customFormat="1" ht="29.25" customHeight="1" x14ac:dyDescent="0.2">
      <c r="A19" s="30"/>
      <c r="B19" s="31"/>
      <c r="C19" s="24" t="s">
        <v>6</v>
      </c>
      <c r="D19" s="24" t="s">
        <v>64</v>
      </c>
      <c r="E19" s="24" t="s">
        <v>65</v>
      </c>
      <c r="F19" s="24" t="s">
        <v>66</v>
      </c>
      <c r="G19" s="24" t="s">
        <v>67</v>
      </c>
      <c r="H19" s="24" t="s">
        <v>68</v>
      </c>
      <c r="I19" s="24" t="s">
        <v>69</v>
      </c>
      <c r="J19" s="24" t="s">
        <v>7</v>
      </c>
      <c r="K19" s="24" t="s">
        <v>8</v>
      </c>
      <c r="L19" s="33"/>
      <c r="M19" s="30"/>
    </row>
    <row r="20" spans="1:13" ht="9" hidden="1" customHeight="1" x14ac:dyDescent="0.2">
      <c r="B20" s="6"/>
      <c r="C20" s="20">
        <v>2</v>
      </c>
      <c r="D20" s="34">
        <v>9639</v>
      </c>
      <c r="E20" s="29" t="s">
        <v>89</v>
      </c>
      <c r="F20" s="29" t="s">
        <v>90</v>
      </c>
      <c r="G20" s="29"/>
      <c r="H20" s="34">
        <v>3</v>
      </c>
      <c r="I20" s="29"/>
      <c r="J20" s="27">
        <v>160000</v>
      </c>
      <c r="K20" s="28">
        <f t="shared" ref="K20:K22" si="0">J20*H20</f>
        <v>480000</v>
      </c>
      <c r="L20" s="7"/>
    </row>
    <row r="21" spans="1:13" ht="89.1" customHeight="1" x14ac:dyDescent="0.2">
      <c r="B21" s="6"/>
      <c r="C21" s="20">
        <v>1</v>
      </c>
      <c r="D21" s="34">
        <v>8433</v>
      </c>
      <c r="E21" s="29" t="s">
        <v>94</v>
      </c>
      <c r="F21" s="29" t="s">
        <v>93</v>
      </c>
      <c r="G21"/>
      <c r="H21" s="34">
        <v>760</v>
      </c>
      <c r="I21" s="29"/>
      <c r="J21" s="27"/>
      <c r="K21" s="28">
        <f t="shared" si="0"/>
        <v>0</v>
      </c>
      <c r="L21" s="7"/>
    </row>
    <row r="22" spans="1:13" ht="168" customHeight="1" x14ac:dyDescent="0.2">
      <c r="B22" s="6"/>
      <c r="C22" s="20">
        <v>2</v>
      </c>
      <c r="D22" s="34">
        <v>8434</v>
      </c>
      <c r="E22" s="29" t="s">
        <v>95</v>
      </c>
      <c r="F22" s="50" t="s">
        <v>96</v>
      </c>
      <c r="G22" s="27"/>
      <c r="H22" s="49">
        <v>460</v>
      </c>
      <c r="I22" s="29"/>
      <c r="J22" s="27"/>
      <c r="K22" s="28">
        <f t="shared" si="0"/>
        <v>0</v>
      </c>
      <c r="L22" s="7"/>
    </row>
    <row r="23" spans="1:13" ht="38.25" x14ac:dyDescent="0.2">
      <c r="B23" s="6"/>
      <c r="C23" s="20">
        <v>3</v>
      </c>
      <c r="D23" s="34">
        <v>8715</v>
      </c>
      <c r="E23" s="29" t="s">
        <v>97</v>
      </c>
      <c r="F23" s="29" t="s">
        <v>98</v>
      </c>
      <c r="G23" s="51"/>
      <c r="H23" s="34">
        <v>1500</v>
      </c>
      <c r="I23" s="29"/>
      <c r="J23" s="27"/>
      <c r="K23" s="28">
        <f>J23*H23</f>
        <v>0</v>
      </c>
      <c r="L23" s="7"/>
    </row>
    <row r="24" spans="1:13" ht="165" customHeight="1" x14ac:dyDescent="0.2">
      <c r="B24" s="6"/>
      <c r="C24" s="20">
        <v>4</v>
      </c>
      <c r="D24" s="34">
        <v>11089</v>
      </c>
      <c r="E24" s="29" t="s">
        <v>99</v>
      </c>
      <c r="F24" s="29" t="s">
        <v>100</v>
      </c>
      <c r="G24" s="29"/>
      <c r="H24" s="34">
        <v>1500</v>
      </c>
      <c r="I24" s="29"/>
      <c r="J24" s="27"/>
      <c r="K24" s="28">
        <f>J24*H24</f>
        <v>0</v>
      </c>
      <c r="L24" s="7"/>
    </row>
    <row r="25" spans="1:13" ht="9" customHeight="1" x14ac:dyDescent="0.2">
      <c r="B25" s="6"/>
      <c r="C25" s="39"/>
      <c r="D25" s="45"/>
      <c r="E25" s="48"/>
      <c r="F25" s="48"/>
      <c r="G25" s="48"/>
      <c r="H25" s="46"/>
      <c r="I25" s="45"/>
      <c r="J25" s="47"/>
      <c r="K25" s="28"/>
      <c r="L25" s="7"/>
    </row>
    <row r="26" spans="1:13" x14ac:dyDescent="0.2">
      <c r="B26" s="6"/>
      <c r="C26" s="96" t="s">
        <v>9</v>
      </c>
      <c r="D26" s="97"/>
      <c r="E26" s="97"/>
      <c r="F26" s="97"/>
      <c r="G26" s="97"/>
      <c r="H26" s="97"/>
      <c r="I26" s="97"/>
      <c r="J26" s="98"/>
      <c r="K26" s="35"/>
      <c r="L26" s="7"/>
    </row>
    <row r="27" spans="1:13" x14ac:dyDescent="0.2">
      <c r="B27" s="6"/>
      <c r="C27" s="99">
        <v>8599</v>
      </c>
      <c r="D27" s="100"/>
      <c r="E27" s="100"/>
      <c r="F27" s="100"/>
      <c r="G27" s="100"/>
      <c r="H27" s="100"/>
      <c r="I27" s="100"/>
      <c r="J27" s="101"/>
      <c r="K27" s="28">
        <f>+K26*19%</f>
        <v>0</v>
      </c>
      <c r="L27" s="7"/>
    </row>
    <row r="28" spans="1:13" x14ac:dyDescent="0.2">
      <c r="B28" s="6"/>
      <c r="C28" s="96" t="s">
        <v>10</v>
      </c>
      <c r="D28" s="97"/>
      <c r="E28" s="97"/>
      <c r="F28" s="97"/>
      <c r="G28" s="97"/>
      <c r="H28" s="97"/>
      <c r="I28" s="97"/>
      <c r="J28" s="98"/>
      <c r="K28" s="35">
        <f>SUM(K26:K27)</f>
        <v>0</v>
      </c>
      <c r="L28" s="7"/>
    </row>
    <row r="29" spans="1:13" ht="9" customHeight="1" x14ac:dyDescent="0.2">
      <c r="B29" s="8"/>
      <c r="C29" s="18"/>
      <c r="D29" s="18"/>
      <c r="E29" s="18"/>
      <c r="F29" s="18"/>
      <c r="G29" s="18"/>
      <c r="H29" s="18"/>
      <c r="I29" s="18"/>
      <c r="J29" s="18"/>
      <c r="K29" s="18"/>
      <c r="L29" s="10"/>
    </row>
    <row r="30" spans="1:13" ht="9" customHeight="1" x14ac:dyDescent="0.2">
      <c r="C30" s="17"/>
      <c r="D30" s="17"/>
      <c r="E30" s="17"/>
      <c r="F30" s="17"/>
      <c r="G30" s="17"/>
      <c r="H30" s="17"/>
      <c r="I30" s="17"/>
      <c r="J30" s="17"/>
      <c r="K30" s="17"/>
    </row>
    <row r="31" spans="1:13" ht="9" customHeight="1" x14ac:dyDescent="0.2">
      <c r="B31" s="3"/>
      <c r="C31" s="19"/>
      <c r="D31" s="19"/>
      <c r="E31" s="19"/>
      <c r="F31" s="19"/>
      <c r="G31" s="19"/>
      <c r="H31" s="19"/>
      <c r="I31" s="19"/>
      <c r="J31" s="19"/>
      <c r="K31" s="19"/>
      <c r="L31" s="5"/>
    </row>
    <row r="32" spans="1:13" ht="27.75" customHeight="1" x14ac:dyDescent="0.2">
      <c r="B32" s="6"/>
      <c r="C32" s="62" t="s">
        <v>1</v>
      </c>
      <c r="D32" s="63"/>
      <c r="E32" s="63"/>
      <c r="F32" s="63"/>
      <c r="G32" s="63"/>
      <c r="H32" s="63"/>
      <c r="I32" s="63"/>
      <c r="J32" s="63"/>
      <c r="K32" s="64"/>
      <c r="L32" s="7"/>
    </row>
    <row r="33" spans="1:12" ht="36.75" customHeight="1" x14ac:dyDescent="0.2">
      <c r="A33" s="23"/>
      <c r="B33" s="6"/>
      <c r="C33" s="105"/>
      <c r="D33" s="106"/>
      <c r="E33" s="106"/>
      <c r="F33" s="106"/>
      <c r="G33" s="106"/>
      <c r="H33" s="106"/>
      <c r="I33" s="106"/>
      <c r="J33" s="106"/>
      <c r="K33" s="107"/>
      <c r="L33" s="7"/>
    </row>
    <row r="34" spans="1:12" ht="9" customHeight="1" x14ac:dyDescent="0.2">
      <c r="B34" s="6"/>
      <c r="C34" s="17"/>
      <c r="D34" s="17"/>
      <c r="E34" s="17"/>
      <c r="F34" s="17"/>
      <c r="G34" s="17"/>
      <c r="H34" s="17"/>
      <c r="I34" s="17"/>
      <c r="J34" s="17"/>
      <c r="K34" s="17"/>
      <c r="L34" s="7"/>
    </row>
    <row r="35" spans="1:12" ht="35.1" customHeight="1" x14ac:dyDescent="0.2">
      <c r="B35" s="6"/>
      <c r="C35" s="65" t="s">
        <v>50</v>
      </c>
      <c r="D35" s="66"/>
      <c r="E35" s="66"/>
      <c r="F35" s="66"/>
      <c r="G35" s="66"/>
      <c r="H35" s="66"/>
      <c r="I35" s="66"/>
      <c r="J35" s="66"/>
      <c r="K35" s="67"/>
      <c r="L35" s="7"/>
    </row>
    <row r="36" spans="1:12" ht="28.5" customHeight="1" x14ac:dyDescent="0.2">
      <c r="B36" s="6"/>
      <c r="C36" s="39">
        <v>1</v>
      </c>
      <c r="D36" s="59"/>
      <c r="E36" s="60"/>
      <c r="F36" s="60"/>
      <c r="G36" s="60"/>
      <c r="H36" s="60"/>
      <c r="I36" s="60"/>
      <c r="J36" s="60"/>
      <c r="K36" s="61"/>
      <c r="L36" s="7"/>
    </row>
    <row r="37" spans="1:12" ht="28.5" hidden="1" customHeight="1" x14ac:dyDescent="0.2">
      <c r="B37" s="6"/>
      <c r="C37" s="39"/>
      <c r="D37" s="59"/>
      <c r="E37" s="60"/>
      <c r="F37" s="60"/>
      <c r="G37" s="60"/>
      <c r="H37" s="60"/>
      <c r="I37" s="60"/>
      <c r="J37" s="60"/>
      <c r="K37" s="61"/>
      <c r="L37" s="7"/>
    </row>
    <row r="38" spans="1:12" ht="9" customHeight="1" x14ac:dyDescent="0.2">
      <c r="B38" s="6"/>
      <c r="C38" s="17"/>
      <c r="D38" s="17"/>
      <c r="E38" s="17"/>
      <c r="F38" s="17"/>
      <c r="G38" s="17"/>
      <c r="H38" s="17"/>
      <c r="I38" s="17"/>
      <c r="J38" s="17"/>
      <c r="K38" s="17"/>
      <c r="L38" s="7"/>
    </row>
    <row r="39" spans="1:12" ht="35.1" customHeight="1" x14ac:dyDescent="0.2">
      <c r="B39" s="6"/>
      <c r="C39" s="62" t="s">
        <v>11</v>
      </c>
      <c r="D39" s="63"/>
      <c r="E39" s="63"/>
      <c r="F39" s="63"/>
      <c r="G39" s="63"/>
      <c r="H39" s="63"/>
      <c r="I39" s="63"/>
      <c r="J39" s="63"/>
      <c r="K39" s="64"/>
      <c r="L39" s="7"/>
    </row>
    <row r="40" spans="1:12" ht="9" customHeight="1" x14ac:dyDescent="0.2">
      <c r="B40" s="6"/>
      <c r="C40" s="17"/>
      <c r="D40" s="17"/>
      <c r="E40" s="17"/>
      <c r="F40" s="17"/>
      <c r="G40" s="17"/>
      <c r="H40" s="17"/>
      <c r="I40" s="17"/>
      <c r="J40" s="17"/>
      <c r="K40" s="17"/>
      <c r="L40" s="7"/>
    </row>
    <row r="41" spans="1:12" ht="35.1" customHeight="1" x14ac:dyDescent="0.2">
      <c r="B41" s="6"/>
      <c r="C41" s="62" t="s">
        <v>12</v>
      </c>
      <c r="D41" s="63"/>
      <c r="E41" s="63"/>
      <c r="F41" s="63"/>
      <c r="G41" s="63"/>
      <c r="H41" s="63"/>
      <c r="I41" s="63"/>
      <c r="J41" s="63"/>
      <c r="K41" s="64"/>
      <c r="L41" s="7"/>
    </row>
    <row r="42" spans="1:12" ht="28.5" hidden="1" customHeight="1" x14ac:dyDescent="0.2">
      <c r="B42" s="6"/>
      <c r="C42" s="21">
        <v>1</v>
      </c>
      <c r="D42" s="102" t="s">
        <v>40</v>
      </c>
      <c r="E42" s="103"/>
      <c r="F42" s="103"/>
      <c r="G42" s="103"/>
      <c r="H42" s="103"/>
      <c r="I42" s="103"/>
      <c r="J42" s="103"/>
      <c r="K42" s="104"/>
      <c r="L42" s="7"/>
    </row>
    <row r="43" spans="1:12" ht="28.5" hidden="1" customHeight="1" x14ac:dyDescent="0.2">
      <c r="B43" s="6"/>
      <c r="C43" s="20">
        <v>2</v>
      </c>
      <c r="D43" s="68" t="s">
        <v>37</v>
      </c>
      <c r="E43" s="69"/>
      <c r="F43" s="69"/>
      <c r="G43" s="69"/>
      <c r="H43" s="69"/>
      <c r="I43" s="69"/>
      <c r="J43" s="69"/>
      <c r="K43" s="70"/>
      <c r="L43" s="7"/>
    </row>
    <row r="44" spans="1:12" ht="28.5" hidden="1" customHeight="1" x14ac:dyDescent="0.2">
      <c r="B44" s="6"/>
      <c r="C44" s="20">
        <v>3</v>
      </c>
      <c r="D44" s="68" t="s">
        <v>33</v>
      </c>
      <c r="E44" s="69"/>
      <c r="F44" s="69"/>
      <c r="G44" s="69"/>
      <c r="H44" s="69"/>
      <c r="I44" s="69"/>
      <c r="J44" s="69"/>
      <c r="K44" s="70"/>
      <c r="L44" s="7"/>
    </row>
    <row r="45" spans="1:12" ht="28.5" hidden="1" customHeight="1" x14ac:dyDescent="0.2">
      <c r="B45" s="6"/>
      <c r="C45" s="20">
        <v>4</v>
      </c>
      <c r="D45" s="68" t="s">
        <v>29</v>
      </c>
      <c r="E45" s="69"/>
      <c r="F45" s="69"/>
      <c r="G45" s="69"/>
      <c r="H45" s="69"/>
      <c r="I45" s="69"/>
      <c r="J45" s="69"/>
      <c r="K45" s="70"/>
      <c r="L45" s="7"/>
    </row>
    <row r="46" spans="1:12" ht="28.5" hidden="1" customHeight="1" x14ac:dyDescent="0.2">
      <c r="B46" s="6"/>
      <c r="C46" s="20">
        <v>5</v>
      </c>
      <c r="D46" s="68" t="s">
        <v>26</v>
      </c>
      <c r="E46" s="69"/>
      <c r="F46" s="69"/>
      <c r="G46" s="69"/>
      <c r="H46" s="69"/>
      <c r="I46" s="69"/>
      <c r="J46" s="69"/>
      <c r="K46" s="70"/>
      <c r="L46" s="7"/>
    </row>
    <row r="47" spans="1:12" ht="28.5" hidden="1" customHeight="1" x14ac:dyDescent="0.2">
      <c r="B47" s="6"/>
      <c r="C47" s="20">
        <v>6</v>
      </c>
      <c r="D47" s="68" t="s">
        <v>22</v>
      </c>
      <c r="E47" s="69"/>
      <c r="F47" s="69"/>
      <c r="G47" s="69"/>
      <c r="H47" s="69"/>
      <c r="I47" s="69"/>
      <c r="J47" s="69"/>
      <c r="K47" s="70"/>
      <c r="L47" s="7"/>
    </row>
    <row r="48" spans="1:12" ht="28.5" hidden="1" customHeight="1" x14ac:dyDescent="0.2">
      <c r="B48" s="6"/>
      <c r="C48" s="20">
        <v>7</v>
      </c>
      <c r="D48" s="68" t="s">
        <v>51</v>
      </c>
      <c r="E48" s="69"/>
      <c r="F48" s="69"/>
      <c r="G48" s="69"/>
      <c r="H48" s="69"/>
      <c r="I48" s="69"/>
      <c r="J48" s="69"/>
      <c r="K48" s="70"/>
      <c r="L48" s="7"/>
    </row>
    <row r="49" spans="2:12" ht="28.5" hidden="1" customHeight="1" x14ac:dyDescent="0.2">
      <c r="B49" s="6"/>
      <c r="C49" s="20">
        <v>8</v>
      </c>
      <c r="D49" s="68" t="s">
        <v>18</v>
      </c>
      <c r="E49" s="69"/>
      <c r="F49" s="69"/>
      <c r="G49" s="69"/>
      <c r="H49" s="69"/>
      <c r="I49" s="69"/>
      <c r="J49" s="69"/>
      <c r="K49" s="70"/>
      <c r="L49" s="7"/>
    </row>
    <row r="50" spans="2:12" ht="9" customHeight="1" x14ac:dyDescent="0.2">
      <c r="B50" s="6"/>
      <c r="C50" s="17"/>
      <c r="D50" s="17"/>
      <c r="E50" s="17"/>
      <c r="F50" s="17"/>
      <c r="G50" s="17"/>
      <c r="H50" s="17"/>
      <c r="I50" s="17"/>
      <c r="J50" s="17"/>
      <c r="K50" s="17"/>
      <c r="L50" s="7"/>
    </row>
    <row r="51" spans="2:12" ht="35.1" customHeight="1" x14ac:dyDescent="0.2">
      <c r="B51" s="6"/>
      <c r="C51" s="65" t="s">
        <v>13</v>
      </c>
      <c r="D51" s="66"/>
      <c r="E51" s="66"/>
      <c r="F51" s="66"/>
      <c r="G51" s="66"/>
      <c r="H51" s="66"/>
      <c r="I51" s="66"/>
      <c r="J51" s="66"/>
      <c r="K51" s="67"/>
      <c r="L51" s="7"/>
    </row>
    <row r="52" spans="2:12" ht="28.5" customHeight="1" x14ac:dyDescent="0.2">
      <c r="B52" s="6"/>
      <c r="C52" s="39">
        <v>1</v>
      </c>
      <c r="D52" s="59"/>
      <c r="E52" s="60"/>
      <c r="F52" s="60"/>
      <c r="G52" s="60"/>
      <c r="H52" s="60"/>
      <c r="I52" s="60"/>
      <c r="J52" s="60"/>
      <c r="K52" s="61"/>
      <c r="L52" s="7"/>
    </row>
    <row r="53" spans="2:12" ht="28.5" hidden="1" customHeight="1" x14ac:dyDescent="0.2">
      <c r="B53" s="6"/>
      <c r="C53" s="39"/>
      <c r="D53" s="59"/>
      <c r="E53" s="60"/>
      <c r="F53" s="60"/>
      <c r="G53" s="60"/>
      <c r="H53" s="60"/>
      <c r="I53" s="60"/>
      <c r="J53" s="60"/>
      <c r="K53" s="61"/>
      <c r="L53" s="7"/>
    </row>
    <row r="54" spans="2:12" ht="9" customHeight="1" x14ac:dyDescent="0.2">
      <c r="B54" s="8"/>
      <c r="C54" s="18"/>
      <c r="D54" s="18"/>
      <c r="E54" s="18"/>
      <c r="F54" s="18"/>
      <c r="G54" s="18"/>
      <c r="H54" s="18"/>
      <c r="I54" s="18"/>
      <c r="J54" s="18"/>
      <c r="K54" s="18"/>
      <c r="L54" s="10"/>
    </row>
    <row r="55" spans="2:12" ht="9" customHeight="1" x14ac:dyDescent="0.2">
      <c r="C55" s="17"/>
      <c r="D55" s="17"/>
      <c r="E55" s="17"/>
      <c r="F55" s="17"/>
      <c r="G55" s="17"/>
      <c r="H55" s="17"/>
      <c r="I55" s="17"/>
      <c r="J55" s="17"/>
      <c r="K55" s="17"/>
    </row>
    <row r="56" spans="2:12" ht="9" customHeight="1" x14ac:dyDescent="0.2">
      <c r="B56" s="3"/>
      <c r="C56" s="19"/>
      <c r="D56" s="19"/>
      <c r="E56" s="19"/>
      <c r="F56" s="19"/>
      <c r="G56" s="19"/>
      <c r="H56" s="19"/>
      <c r="I56" s="19"/>
      <c r="J56" s="19"/>
      <c r="K56" s="19"/>
      <c r="L56" s="5"/>
    </row>
    <row r="57" spans="2:12" ht="26.25" customHeight="1" x14ac:dyDescent="0.2">
      <c r="B57" s="6"/>
      <c r="C57" s="52" t="s">
        <v>78</v>
      </c>
      <c r="D57" s="53"/>
      <c r="E57" s="53"/>
      <c r="F57" s="53"/>
      <c r="G57" s="53"/>
      <c r="H57" s="53"/>
      <c r="I57" s="53"/>
      <c r="J57" s="53"/>
      <c r="K57" s="54"/>
      <c r="L57" s="7"/>
    </row>
    <row r="58" spans="2:12" ht="18.75" customHeight="1" x14ac:dyDescent="0.2">
      <c r="B58" s="6"/>
      <c r="C58" s="55" t="s">
        <v>63</v>
      </c>
      <c r="D58" s="55"/>
      <c r="E58" s="72" t="s">
        <v>91</v>
      </c>
      <c r="F58" s="73"/>
      <c r="G58" s="74"/>
      <c r="H58" s="55" t="s">
        <v>73</v>
      </c>
      <c r="I58" s="40" t="s">
        <v>62</v>
      </c>
      <c r="J58" s="40" t="s">
        <v>4</v>
      </c>
      <c r="K58" s="42" t="s">
        <v>5</v>
      </c>
      <c r="L58" s="7"/>
    </row>
    <row r="59" spans="2:12" ht="18.75" customHeight="1" x14ac:dyDescent="0.2">
      <c r="B59" s="6"/>
      <c r="C59" s="55"/>
      <c r="D59" s="55"/>
      <c r="E59" s="75"/>
      <c r="F59" s="76"/>
      <c r="G59" s="77"/>
      <c r="H59" s="55"/>
      <c r="I59" s="56">
        <v>45463</v>
      </c>
      <c r="J59" s="57"/>
      <c r="K59" s="58"/>
      <c r="L59" s="7"/>
    </row>
    <row r="60" spans="2:12" ht="29.25" customHeight="1" x14ac:dyDescent="0.2">
      <c r="B60" s="6"/>
      <c r="C60" s="55" t="s">
        <v>76</v>
      </c>
      <c r="D60" s="55"/>
      <c r="E60" s="78" t="s">
        <v>86</v>
      </c>
      <c r="F60" s="79"/>
      <c r="G60" s="80"/>
      <c r="H60" s="41" t="s">
        <v>74</v>
      </c>
      <c r="I60" s="71"/>
      <c r="J60" s="57"/>
      <c r="K60" s="58"/>
      <c r="L60" s="7"/>
    </row>
    <row r="61" spans="2:12" ht="31.5" customHeight="1" x14ac:dyDescent="0.2">
      <c r="B61" s="6"/>
      <c r="C61" s="55" t="s">
        <v>77</v>
      </c>
      <c r="D61" s="55"/>
      <c r="E61" s="78" t="s">
        <v>91</v>
      </c>
      <c r="F61" s="79"/>
      <c r="G61" s="80"/>
      <c r="H61" s="41" t="s">
        <v>75</v>
      </c>
      <c r="I61" s="71" t="s">
        <v>92</v>
      </c>
      <c r="J61" s="57"/>
      <c r="K61" s="58"/>
      <c r="L61" s="7"/>
    </row>
    <row r="62" spans="2:12" ht="9" customHeight="1" x14ac:dyDescent="0.2">
      <c r="B62" s="8"/>
      <c r="C62" s="9"/>
      <c r="D62" s="9"/>
      <c r="E62" s="9"/>
      <c r="F62" s="9"/>
      <c r="G62" s="9"/>
      <c r="H62" s="9"/>
      <c r="I62" s="9"/>
      <c r="J62" s="9"/>
      <c r="K62" s="9"/>
      <c r="L62" s="10"/>
    </row>
  </sheetData>
  <mergeCells count="50">
    <mergeCell ref="C26:J26"/>
    <mergeCell ref="C27:J27"/>
    <mergeCell ref="D42:K42"/>
    <mergeCell ref="D43:K43"/>
    <mergeCell ref="D37:K37"/>
    <mergeCell ref="C28:J28"/>
    <mergeCell ref="D36:K36"/>
    <mergeCell ref="C35:K35"/>
    <mergeCell ref="C39:K39"/>
    <mergeCell ref="C33:K33"/>
    <mergeCell ref="C32:K32"/>
    <mergeCell ref="H15:K15"/>
    <mergeCell ref="I12:K12"/>
    <mergeCell ref="I13:K13"/>
    <mergeCell ref="I14:K14"/>
    <mergeCell ref="C12:D12"/>
    <mergeCell ref="C13:D13"/>
    <mergeCell ref="C14:D14"/>
    <mergeCell ref="C15:D15"/>
    <mergeCell ref="E12:G12"/>
    <mergeCell ref="E13:G13"/>
    <mergeCell ref="E14:G14"/>
    <mergeCell ref="E15:G15"/>
    <mergeCell ref="C9:D10"/>
    <mergeCell ref="E9:G10"/>
    <mergeCell ref="H9:H10"/>
    <mergeCell ref="C3:D5"/>
    <mergeCell ref="E3:J3"/>
    <mergeCell ref="E4:J5"/>
    <mergeCell ref="I60:K60"/>
    <mergeCell ref="I61:K61"/>
    <mergeCell ref="C58:D59"/>
    <mergeCell ref="C60:D60"/>
    <mergeCell ref="C61:D61"/>
    <mergeCell ref="E58:G59"/>
    <mergeCell ref="E60:G60"/>
    <mergeCell ref="E61:G61"/>
    <mergeCell ref="C57:K57"/>
    <mergeCell ref="H58:H59"/>
    <mergeCell ref="I59:K59"/>
    <mergeCell ref="D53:K53"/>
    <mergeCell ref="C41:K41"/>
    <mergeCell ref="C51:K51"/>
    <mergeCell ref="D52:K52"/>
    <mergeCell ref="D44:K44"/>
    <mergeCell ref="D45:K45"/>
    <mergeCell ref="D46:K46"/>
    <mergeCell ref="D47:K47"/>
    <mergeCell ref="D48:K48"/>
    <mergeCell ref="D49:K49"/>
  </mergeCells>
  <dataValidations count="2">
    <dataValidation type="list" allowBlank="1" showInputMessage="1" showErrorMessage="1" sqref="C33">
      <formula1>TipoBien</formula1>
    </dataValidation>
    <dataValidation type="list" allowBlank="1" showInputMessage="1" showErrorMessage="1" sqref="E9:G10">
      <formula1>$N$12:$N$13</formula1>
    </dataValidation>
  </dataValidations>
  <printOptions horizontalCentered="1"/>
  <pageMargins left="0.39370078740157483" right="0.39370078740157483" top="0.59055118110236227" bottom="0.59055118110236227" header="0.31496062992125984" footer="0.31496062992125984"/>
  <pageSetup paperSize="122" scale="75" fitToHeight="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heck Box 3">
              <controlPr defaultSize="0" autoFill="0" autoLine="0" autoPict="0">
                <anchor moveWithCells="1">
                  <from>
                    <xdr:col>7</xdr:col>
                    <xdr:colOff>866775</xdr:colOff>
                    <xdr:row>38</xdr:row>
                    <xdr:rowOff>85725</xdr:rowOff>
                  </from>
                  <to>
                    <xdr:col>8</xdr:col>
                    <xdr:colOff>476250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heck Box 4">
              <controlPr defaultSize="0" autoFill="0" autoLine="0" autoPict="0">
                <anchor moveWithCells="1">
                  <from>
                    <xdr:col>8</xdr:col>
                    <xdr:colOff>409575</xdr:colOff>
                    <xdr:row>38</xdr:row>
                    <xdr:rowOff>85725</xdr:rowOff>
                  </from>
                  <to>
                    <xdr:col>9</xdr:col>
                    <xdr:colOff>257175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Check Box 5">
              <controlPr defaultSize="0" autoFill="0" autoLine="0" autoPict="0">
                <anchor moveWithCells="1">
                  <from>
                    <xdr:col>7</xdr:col>
                    <xdr:colOff>790575</xdr:colOff>
                    <xdr:row>34</xdr:row>
                    <xdr:rowOff>114300</xdr:rowOff>
                  </from>
                  <to>
                    <xdr:col>8</xdr:col>
                    <xdr:colOff>400050</xdr:colOff>
                    <xdr:row>34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Check Box 6">
              <controlPr defaultSize="0" autoFill="0" autoLine="0" autoPict="0">
                <anchor moveWithCells="1">
                  <from>
                    <xdr:col>8</xdr:col>
                    <xdr:colOff>333375</xdr:colOff>
                    <xdr:row>34</xdr:row>
                    <xdr:rowOff>114300</xdr:rowOff>
                  </from>
                  <to>
                    <xdr:col>9</xdr:col>
                    <xdr:colOff>180975</xdr:colOff>
                    <xdr:row>34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Check Box 7">
              <controlPr defaultSize="0" autoFill="0" autoLine="0" autoPict="0">
                <anchor moveWithCells="1">
                  <from>
                    <xdr:col>7</xdr:col>
                    <xdr:colOff>866775</xdr:colOff>
                    <xdr:row>50</xdr:row>
                    <xdr:rowOff>104775</xdr:rowOff>
                  </from>
                  <to>
                    <xdr:col>8</xdr:col>
                    <xdr:colOff>476250</xdr:colOff>
                    <xdr:row>50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Check Box 8">
              <controlPr defaultSize="0" autoFill="0" autoLine="0" autoPict="0">
                <anchor moveWithCells="1">
                  <from>
                    <xdr:col>8</xdr:col>
                    <xdr:colOff>409575</xdr:colOff>
                    <xdr:row>50</xdr:row>
                    <xdr:rowOff>104775</xdr:rowOff>
                  </from>
                  <to>
                    <xdr:col>9</xdr:col>
                    <xdr:colOff>257175</xdr:colOff>
                    <xdr:row>50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F12" sqref="F12"/>
    </sheetView>
  </sheetViews>
  <sheetFormatPr baseColWidth="10" defaultRowHeight="14.25" x14ac:dyDescent="0.2"/>
  <sheetData>
    <row r="1" spans="1:1" x14ac:dyDescent="0.2">
      <c r="A1" t="s">
        <v>61</v>
      </c>
    </row>
    <row r="2" spans="1:1" x14ac:dyDescent="0.2">
      <c r="A2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4"/>
  <sheetViews>
    <sheetView showGridLines="0" showRowColHeaders="0" workbookViewId="0">
      <selection activeCell="H15" sqref="H15"/>
    </sheetView>
  </sheetViews>
  <sheetFormatPr baseColWidth="10" defaultColWidth="11" defaultRowHeight="18" x14ac:dyDescent="0.2"/>
  <cols>
    <col min="1" max="1" width="11" style="14"/>
    <col min="2" max="2" width="11" style="13"/>
    <col min="3" max="3" width="1.125" style="13" customWidth="1"/>
    <col min="4" max="4" width="41.875" style="13" customWidth="1"/>
    <col min="5" max="5" width="2" style="13" customWidth="1"/>
    <col min="6" max="12" width="32.75" style="12" customWidth="1"/>
    <col min="13" max="16384" width="11" style="1"/>
  </cols>
  <sheetData>
    <row r="1" spans="2:12" ht="18.75" customHeight="1" x14ac:dyDescent="0.2">
      <c r="B1" s="22" t="s">
        <v>4</v>
      </c>
      <c r="D1" s="22" t="s">
        <v>49</v>
      </c>
      <c r="F1" s="22" t="s">
        <v>48</v>
      </c>
      <c r="G1" s="22" t="s">
        <v>47</v>
      </c>
      <c r="H1" s="22" t="s">
        <v>46</v>
      </c>
      <c r="I1" s="22" t="s">
        <v>45</v>
      </c>
      <c r="J1" s="22" t="s">
        <v>44</v>
      </c>
      <c r="K1" s="22" t="s">
        <v>43</v>
      </c>
      <c r="L1" s="22" t="s">
        <v>53</v>
      </c>
    </row>
    <row r="2" spans="2:12" ht="45" x14ac:dyDescent="0.2">
      <c r="B2" s="15" t="s">
        <v>42</v>
      </c>
      <c r="D2" s="16" t="s">
        <v>41</v>
      </c>
      <c r="F2" s="16" t="s">
        <v>22</v>
      </c>
      <c r="G2" s="16" t="s">
        <v>26</v>
      </c>
      <c r="H2" s="16" t="s">
        <v>26</v>
      </c>
      <c r="I2" s="16" t="s">
        <v>26</v>
      </c>
      <c r="J2" s="16" t="s">
        <v>40</v>
      </c>
      <c r="K2" s="16" t="s">
        <v>26</v>
      </c>
      <c r="L2" s="16" t="s">
        <v>54</v>
      </c>
    </row>
    <row r="3" spans="2:12" ht="33.75" x14ac:dyDescent="0.2">
      <c r="B3" s="15" t="s">
        <v>39</v>
      </c>
      <c r="D3" s="16" t="s">
        <v>38</v>
      </c>
      <c r="F3" s="16" t="s">
        <v>34</v>
      </c>
      <c r="G3" s="16" t="s">
        <v>22</v>
      </c>
      <c r="H3" s="16" t="s">
        <v>22</v>
      </c>
      <c r="I3" s="16" t="s">
        <v>22</v>
      </c>
      <c r="J3" s="16" t="s">
        <v>37</v>
      </c>
      <c r="K3" s="16" t="s">
        <v>22</v>
      </c>
      <c r="L3" s="16"/>
    </row>
    <row r="4" spans="2:12" ht="22.5" x14ac:dyDescent="0.2">
      <c r="B4" s="15" t="s">
        <v>36</v>
      </c>
      <c r="D4" s="16" t="s">
        <v>35</v>
      </c>
      <c r="F4" s="16" t="s">
        <v>27</v>
      </c>
      <c r="G4" s="16" t="s">
        <v>34</v>
      </c>
      <c r="H4" s="16"/>
      <c r="I4" s="16"/>
      <c r="J4" s="16" t="s">
        <v>33</v>
      </c>
      <c r="K4" s="16"/>
      <c r="L4" s="16"/>
    </row>
    <row r="5" spans="2:12" ht="22.5" x14ac:dyDescent="0.2">
      <c r="B5" s="15" t="s">
        <v>32</v>
      </c>
      <c r="D5" s="16" t="s">
        <v>31</v>
      </c>
      <c r="F5" s="16" t="s">
        <v>23</v>
      </c>
      <c r="G5" s="16" t="s">
        <v>30</v>
      </c>
      <c r="H5" s="16"/>
      <c r="I5" s="16"/>
      <c r="J5" s="16" t="s">
        <v>29</v>
      </c>
      <c r="K5" s="16"/>
      <c r="L5" s="16"/>
    </row>
    <row r="6" spans="2:12" ht="33.75" x14ac:dyDescent="0.2">
      <c r="B6" s="15" t="s">
        <v>28</v>
      </c>
      <c r="D6" s="16" t="s">
        <v>2</v>
      </c>
      <c r="F6" s="16" t="s">
        <v>20</v>
      </c>
      <c r="G6" s="16" t="s">
        <v>27</v>
      </c>
      <c r="H6" s="16"/>
      <c r="I6" s="16"/>
      <c r="J6" s="16" t="s">
        <v>26</v>
      </c>
      <c r="K6" s="16"/>
      <c r="L6" s="16"/>
    </row>
    <row r="7" spans="2:12" ht="33.75" x14ac:dyDescent="0.2">
      <c r="B7" s="15" t="s">
        <v>25</v>
      </c>
      <c r="D7" s="16" t="s">
        <v>24</v>
      </c>
      <c r="F7" s="16" t="s">
        <v>18</v>
      </c>
      <c r="G7" s="16" t="s">
        <v>23</v>
      </c>
      <c r="H7" s="16"/>
      <c r="I7" s="16"/>
      <c r="J7" s="16" t="s">
        <v>22</v>
      </c>
      <c r="K7" s="16"/>
      <c r="L7" s="16"/>
    </row>
    <row r="8" spans="2:12" ht="22.5" x14ac:dyDescent="0.2">
      <c r="B8" s="15" t="s">
        <v>21</v>
      </c>
      <c r="D8" s="16" t="s">
        <v>52</v>
      </c>
      <c r="F8" s="16"/>
      <c r="G8" s="16" t="s">
        <v>20</v>
      </c>
      <c r="H8" s="16"/>
      <c r="I8" s="16"/>
      <c r="J8" s="16"/>
      <c r="K8" s="16"/>
      <c r="L8" s="16"/>
    </row>
    <row r="9" spans="2:12" ht="22.5" x14ac:dyDescent="0.2">
      <c r="B9" s="15" t="s">
        <v>19</v>
      </c>
      <c r="D9" s="15"/>
      <c r="F9" s="16"/>
      <c r="G9" s="16" t="s">
        <v>18</v>
      </c>
      <c r="H9" s="16"/>
      <c r="I9" s="16"/>
      <c r="J9" s="16"/>
      <c r="K9" s="16"/>
      <c r="L9" s="16"/>
    </row>
    <row r="10" spans="2:12" ht="31.5" customHeight="1" x14ac:dyDescent="0.2">
      <c r="B10" s="15" t="s">
        <v>17</v>
      </c>
      <c r="D10" s="15"/>
      <c r="F10" s="16"/>
      <c r="G10" s="16"/>
      <c r="H10" s="16"/>
      <c r="I10" s="16"/>
      <c r="J10" s="16"/>
      <c r="K10" s="16"/>
      <c r="L10" s="16"/>
    </row>
    <row r="11" spans="2:12" ht="31.5" customHeight="1" x14ac:dyDescent="0.2">
      <c r="B11" s="15" t="s">
        <v>16</v>
      </c>
      <c r="D11" s="15"/>
      <c r="F11" s="16"/>
      <c r="G11" s="16"/>
      <c r="H11" s="16"/>
      <c r="I11" s="16"/>
      <c r="J11" s="16"/>
      <c r="K11" s="16"/>
      <c r="L11" s="16"/>
    </row>
    <row r="12" spans="2:12" ht="31.5" customHeight="1" x14ac:dyDescent="0.2">
      <c r="B12" s="15" t="s">
        <v>15</v>
      </c>
      <c r="D12" s="15"/>
      <c r="F12" s="16"/>
      <c r="G12" s="16"/>
      <c r="H12" s="16"/>
      <c r="I12" s="16"/>
      <c r="J12" s="16"/>
      <c r="K12" s="16"/>
      <c r="L12" s="16"/>
    </row>
    <row r="13" spans="2:12" ht="31.5" customHeight="1" x14ac:dyDescent="0.2">
      <c r="B13" s="15" t="s">
        <v>14</v>
      </c>
      <c r="D13" s="15"/>
      <c r="F13" s="16"/>
      <c r="G13" s="16"/>
      <c r="H13" s="16"/>
      <c r="I13" s="16"/>
      <c r="J13" s="16"/>
      <c r="K13" s="16"/>
      <c r="L13" s="16"/>
    </row>
    <row r="14" spans="2:12" x14ac:dyDescent="0.2">
      <c r="D14" s="1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CO-FT-003</vt:lpstr>
      <vt:lpstr>Hoja1</vt:lpstr>
      <vt:lpstr>'CO-FT-003'!Área_de_impresión</vt:lpstr>
      <vt:lpstr>Mes</vt:lpstr>
      <vt:lpstr>TIPO</vt:lpstr>
      <vt:lpstr>TipoBien</vt:lpstr>
      <vt:lpstr>'CO-FT-003'!Títulos_a_imprimir</vt:lpstr>
    </vt:vector>
  </TitlesOfParts>
  <Manager>HSEQ</Manager>
  <Company>BIOMAX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DOCUMENTAL</dc:title>
  <dc:subject>ESPECIFICACIONES TECNICAS PARA BIENES</dc:subject>
  <dc:creator>Andrea Patricia Cubillos Benavides</dc:creator>
  <cp:lastModifiedBy>Natalia Orjuela Peñuela</cp:lastModifiedBy>
  <cp:lastPrinted>2020-03-04T15:03:40Z</cp:lastPrinted>
  <dcterms:created xsi:type="dcterms:W3CDTF">2013-08-02T22:07:46Z</dcterms:created>
  <dcterms:modified xsi:type="dcterms:W3CDTF">2024-06-06T13:27:38Z</dcterms:modified>
  <cp:category/>
</cp:coreProperties>
</file>